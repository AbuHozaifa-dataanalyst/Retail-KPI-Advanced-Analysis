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Retail-KPI-Adanced-Analysis\data\"/>
    </mc:Choice>
  </mc:AlternateContent>
  <xr:revisionPtr revIDLastSave="0" documentId="8_{876CB994-342A-4D00-B6D0-B6F349DE7BF1}" xr6:coauthVersionLast="47" xr6:coauthVersionMax="47" xr10:uidLastSave="{00000000-0000-0000-0000-000000000000}"/>
  <bookViews>
    <workbookView xWindow="0" yWindow="15" windowWidth="14655" windowHeight="15165" activeTab="3" xr2:uid="{6E608536-5966-442E-B734-9C02EC541FF2}"/>
  </bookViews>
  <sheets>
    <sheet name="KPI_Data" sheetId="1" r:id="rId1"/>
    <sheet name="Retention_Data" sheetId="2" r:id="rId2"/>
    <sheet name="Category_Data" sheetId="3" r:id="rId3"/>
    <sheet name="Scenario_Simulation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4" l="1"/>
  <c r="B7" i="4"/>
  <c r="B6" i="4"/>
  <c r="E3" i="3"/>
  <c r="E4" i="3"/>
  <c r="E5" i="3"/>
  <c r="E6" i="3"/>
  <c r="E7" i="3"/>
  <c r="E2" i="3"/>
  <c r="D3" i="2"/>
  <c r="D4" i="2"/>
  <c r="D5" i="2"/>
  <c r="D6" i="2"/>
  <c r="D7" i="2"/>
  <c r="D2" i="2"/>
  <c r="F3" i="1"/>
  <c r="F4" i="1"/>
  <c r="F5" i="1"/>
  <c r="F6" i="1"/>
  <c r="F7" i="1"/>
  <c r="F2" i="1"/>
  <c r="E3" i="1"/>
  <c r="E4" i="1"/>
  <c r="E5" i="1"/>
  <c r="E6" i="1"/>
  <c r="E7" i="1"/>
  <c r="E2" i="1"/>
</calcChain>
</file>

<file path=xl/sharedStrings.xml><?xml version="1.0" encoding="utf-8"?>
<sst xmlns="http://schemas.openxmlformats.org/spreadsheetml/2006/main" count="42" uniqueCount="27">
  <si>
    <t>Month</t>
  </si>
  <si>
    <t>Traffic</t>
  </si>
  <si>
    <t>Transactions</t>
  </si>
  <si>
    <t>Jan</t>
  </si>
  <si>
    <t>Feb</t>
  </si>
  <si>
    <t>Mar</t>
  </si>
  <si>
    <t>Apr</t>
  </si>
  <si>
    <t>May</t>
  </si>
  <si>
    <t>Jun</t>
  </si>
  <si>
    <t>Sales</t>
  </si>
  <si>
    <t>Electronics</t>
  </si>
  <si>
    <t>Clothing</t>
  </si>
  <si>
    <t>Grocery</t>
  </si>
  <si>
    <t>Metric</t>
  </si>
  <si>
    <t>Value</t>
  </si>
  <si>
    <t>Current Conversion</t>
  </si>
  <si>
    <t>Improved Conversion</t>
  </si>
  <si>
    <t>Avg Basket</t>
  </si>
  <si>
    <t>Current Revenue</t>
  </si>
  <si>
    <t>Improved Revenue</t>
  </si>
  <si>
    <t>Revenue Impact</t>
  </si>
  <si>
    <t>Total_Customers</t>
  </si>
  <si>
    <t>Returning_Customers</t>
  </si>
  <si>
    <t>Retention_Rate</t>
  </si>
  <si>
    <t>Avg_Basket ($)</t>
  </si>
  <si>
    <t xml:space="preserve">Conversion_rate </t>
  </si>
  <si>
    <t>Total_Sales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</si>
</sst>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_-[$$-409]* #,##0_ ;_-[$$-409]* \-#,##0\ ;_-[$$-409]* &quot;-&quot;??_ ;_-@_ "/>
  </numFmts>
  <fonts count="3" x14ac:knownFonts="1">
    <font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9" fontId="2" fillId="0" borderId="0" xfId="1" applyFont="1" applyAlignment="1">
      <alignment horizontal="center" vertical="center" wrapText="1"/>
    </xf>
    <xf numFmtId="9" fontId="0" fillId="0" borderId="0" xfId="1" applyFont="1"/>
    <xf numFmtId="172" fontId="2" fillId="0" borderId="0" xfId="0" applyNumberFormat="1" applyFont="1" applyAlignment="1">
      <alignment horizontal="center" vertical="center" wrapText="1"/>
    </xf>
    <xf numFmtId="172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</cellXfs>
  <cellStyles count="2">
    <cellStyle name="Normal" xfId="0" builtinId="0"/>
    <cellStyle name="Percent" xfId="1" builtinId="5"/>
  </cellStyles>
  <dxfs count="20"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172" formatCode="_-[$$-409]* #,##0_ ;_-[$$-409]* \-#,##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2206A2-BEBD-476B-9369-CA1C4175D584}" name="Table2" displayName="Table2" ref="A1:F7" totalsRowShown="0" headerRowDxfId="13" headerRowCellStyle="Percent">
  <autoFilter ref="A1:F7" xr:uid="{E62206A2-BEBD-476B-9369-CA1C4175D584}"/>
  <tableColumns count="6">
    <tableColumn id="1" xr3:uid="{CA75AB40-2BA5-4EBE-94B4-C1769C2C50A1}" name="Month" dataDxfId="19"/>
    <tableColumn id="2" xr3:uid="{66B357C9-B591-4B5F-B8DD-457014218E24}" name="Traffic" dataDxfId="18"/>
    <tableColumn id="3" xr3:uid="{3E2E6E33-2386-4E58-8F5B-3A3F2F4718B8}" name="Transactions" dataDxfId="17"/>
    <tableColumn id="4" xr3:uid="{EC41D235-5EA3-4925-98ED-34470679D450}" name="Avg_Basket ($)" dataDxfId="16"/>
    <tableColumn id="5" xr3:uid="{63E2DA02-DFCB-411A-AF81-B7F7A172C072}" name="Conversion_rate " dataDxfId="15" dataCellStyle="Percent">
      <calculatedColumnFormula>C2/B2</calculatedColumnFormula>
    </tableColumn>
    <tableColumn id="6" xr3:uid="{34C07675-50A3-43AB-9E64-F7E63A5D216A}" name="Sales" dataDxfId="14">
      <calculatedColumnFormula>C2*D2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DE0772-AA6B-413F-A09A-4FB04FBD6B62}" name="Table3" displayName="Table3" ref="A1:D7" totalsRowShown="0" headerRowDxfId="8">
  <autoFilter ref="A1:D7" xr:uid="{ACDE0772-AA6B-413F-A09A-4FB04FBD6B62}"/>
  <tableColumns count="4">
    <tableColumn id="1" xr3:uid="{199C14B9-87A3-46D4-8453-307236554404}" name="Month" dataDxfId="12"/>
    <tableColumn id="2" xr3:uid="{E6036FF8-C759-412C-B318-2C21E7B94D35}" name="Total_Customers" dataDxfId="11"/>
    <tableColumn id="3" xr3:uid="{547F8854-0143-4C69-99F7-480D86AE537B}" name="Returning_Customers" dataDxfId="10"/>
    <tableColumn id="4" xr3:uid="{1E463CA4-BF3C-4845-A8A4-7FA9FBB769B3}" name="Retention_Rate" dataDxfId="9" dataCellStyle="Percent">
      <calculatedColumnFormula>C2/B2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DD896F-EA17-42D1-9FB6-35058D93079E}" name="Table4" displayName="Table4" ref="A1:E7" totalsRowShown="0" headerRowDxfId="1" dataDxfId="2">
  <autoFilter ref="A1:E7" xr:uid="{84DD896F-EA17-42D1-9FB6-35058D93079E}"/>
  <tableColumns count="5">
    <tableColumn id="1" xr3:uid="{BE670F30-F0C3-452A-BC7B-500BFB56CB49}" name="Month" dataDxfId="7"/>
    <tableColumn id="2" xr3:uid="{4DB0359E-0D07-4284-8DCD-75FF7BFC74E8}" name="Electronics" dataDxfId="6"/>
    <tableColumn id="3" xr3:uid="{62246BF5-E830-4E37-BDC2-F3C7BD83E000}" name="Clothing" dataDxfId="5"/>
    <tableColumn id="4" xr3:uid="{AB623A25-1A42-411E-9D4D-9F39E0879553}" name="Grocery" dataDxfId="4"/>
    <tableColumn id="5" xr3:uid="{4D118634-10CA-4E23-AB3F-FEC420B361E8}" name="Total_Sales" dataDxfId="3">
      <calculatedColumnFormula>B2+C2+D2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AF0596B-965D-401B-92E8-866BB50F694B}" name="Table5" displayName="Table5" ref="A1:B8" totalsRowShown="0">
  <autoFilter ref="A1:B8" xr:uid="{AAF0596B-965D-401B-92E8-866BB50F694B}"/>
  <tableColumns count="2">
    <tableColumn id="1" xr3:uid="{3C76BE5C-B6CA-4CED-AA0A-CC4EFED8E7D1}" name="Metric" dataDxfId="0"/>
    <tableColumn id="2" xr3:uid="{E58562EB-541D-453B-9FDB-612F3E5E69E9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F311F-D9E6-4C51-9BB5-4B7431C3D972}">
  <dimension ref="A1:G7"/>
  <sheetViews>
    <sheetView workbookViewId="0">
      <selection activeCell="E2" sqref="E2"/>
    </sheetView>
  </sheetViews>
  <sheetFormatPr defaultRowHeight="18.75" x14ac:dyDescent="0.3"/>
  <cols>
    <col min="3" max="3" width="14.3984375" customWidth="1"/>
    <col min="4" max="4" width="16.8984375" customWidth="1"/>
    <col min="5" max="5" width="17.8984375" style="5" customWidth="1"/>
    <col min="6" max="6" width="11.8984375" style="7" bestFit="1" customWidth="1"/>
    <col min="7" max="7" width="9.19921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24</v>
      </c>
      <c r="E1" s="4" t="s">
        <v>25</v>
      </c>
      <c r="F1" s="6" t="s">
        <v>9</v>
      </c>
      <c r="G1" s="1"/>
    </row>
    <row r="2" spans="1:7" x14ac:dyDescent="0.3">
      <c r="A2" s="2" t="s">
        <v>3</v>
      </c>
      <c r="B2" s="3">
        <v>10000</v>
      </c>
      <c r="C2" s="3">
        <v>2200</v>
      </c>
      <c r="D2" s="2">
        <v>25</v>
      </c>
      <c r="E2" s="5">
        <f>C2/B2</f>
        <v>0.22</v>
      </c>
      <c r="F2" s="7">
        <f>C2*D2</f>
        <v>55000</v>
      </c>
      <c r="G2" s="1"/>
    </row>
    <row r="3" spans="1:7" x14ac:dyDescent="0.3">
      <c r="A3" s="2" t="s">
        <v>4</v>
      </c>
      <c r="B3" s="3">
        <v>9500</v>
      </c>
      <c r="C3" s="3">
        <v>1900</v>
      </c>
      <c r="D3" s="2">
        <v>27</v>
      </c>
      <c r="E3" s="5">
        <f t="shared" ref="E3:E7" si="0">C3/B3</f>
        <v>0.2</v>
      </c>
      <c r="F3" s="7">
        <f t="shared" ref="F3:F7" si="1">C3*D3</f>
        <v>51300</v>
      </c>
    </row>
    <row r="4" spans="1:7" x14ac:dyDescent="0.3">
      <c r="A4" s="2" t="s">
        <v>5</v>
      </c>
      <c r="B4" s="3">
        <v>11000</v>
      </c>
      <c r="C4" s="3">
        <v>2100</v>
      </c>
      <c r="D4" s="2">
        <v>24</v>
      </c>
      <c r="E4" s="5">
        <f t="shared" si="0"/>
        <v>0.19090909090909092</v>
      </c>
      <c r="F4" s="7">
        <f t="shared" si="1"/>
        <v>50400</v>
      </c>
    </row>
    <row r="5" spans="1:7" x14ac:dyDescent="0.3">
      <c r="A5" s="2" t="s">
        <v>6</v>
      </c>
      <c r="B5" s="3">
        <v>12000</v>
      </c>
      <c r="C5" s="3">
        <v>2400</v>
      </c>
      <c r="D5" s="2">
        <v>23</v>
      </c>
      <c r="E5" s="5">
        <f t="shared" si="0"/>
        <v>0.2</v>
      </c>
      <c r="F5" s="7">
        <f t="shared" si="1"/>
        <v>55200</v>
      </c>
    </row>
    <row r="6" spans="1:7" x14ac:dyDescent="0.3">
      <c r="A6" s="2" t="s">
        <v>7</v>
      </c>
      <c r="B6" s="3">
        <v>11500</v>
      </c>
      <c r="C6" s="3">
        <v>2150</v>
      </c>
      <c r="D6" s="2">
        <v>26</v>
      </c>
      <c r="E6" s="5">
        <f t="shared" si="0"/>
        <v>0.18695652173913044</v>
      </c>
      <c r="F6" s="7">
        <f t="shared" si="1"/>
        <v>55900</v>
      </c>
    </row>
    <row r="7" spans="1:7" x14ac:dyDescent="0.3">
      <c r="A7" s="2" t="s">
        <v>8</v>
      </c>
      <c r="B7" s="3">
        <v>13000</v>
      </c>
      <c r="C7" s="3">
        <v>2600</v>
      </c>
      <c r="D7" s="2">
        <v>24</v>
      </c>
      <c r="E7" s="5">
        <f t="shared" si="0"/>
        <v>0.2</v>
      </c>
      <c r="F7" s="7">
        <f t="shared" si="1"/>
        <v>62400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10EA8-11C4-4C35-AB01-3EC6781D5690}">
  <dimension ref="A1:D7"/>
  <sheetViews>
    <sheetView workbookViewId="0">
      <selection activeCell="E4" sqref="E4"/>
    </sheetView>
  </sheetViews>
  <sheetFormatPr defaultRowHeight="18.75" x14ac:dyDescent="0.3"/>
  <cols>
    <col min="2" max="2" width="15.09765625" customWidth="1"/>
    <col min="3" max="3" width="19" customWidth="1"/>
    <col min="4" max="4" width="14.296875" style="5" customWidth="1"/>
  </cols>
  <sheetData>
    <row r="1" spans="1:4" x14ac:dyDescent="0.3">
      <c r="A1" s="1" t="s">
        <v>0</v>
      </c>
      <c r="B1" s="1" t="s">
        <v>21</v>
      </c>
      <c r="C1" s="1" t="s">
        <v>22</v>
      </c>
      <c r="D1" s="4" t="s">
        <v>23</v>
      </c>
    </row>
    <row r="2" spans="1:4" x14ac:dyDescent="0.3">
      <c r="A2" s="2" t="s">
        <v>3</v>
      </c>
      <c r="B2" s="3">
        <v>2200</v>
      </c>
      <c r="C2" s="2">
        <v>800</v>
      </c>
      <c r="D2" s="5">
        <f>C2/B2</f>
        <v>0.36363636363636365</v>
      </c>
    </row>
    <row r="3" spans="1:4" x14ac:dyDescent="0.3">
      <c r="A3" s="2" t="s">
        <v>4</v>
      </c>
      <c r="B3" s="3">
        <v>1900</v>
      </c>
      <c r="C3" s="2">
        <v>750</v>
      </c>
      <c r="D3" s="5">
        <f t="shared" ref="D3:D7" si="0">C3/B3</f>
        <v>0.39473684210526316</v>
      </c>
    </row>
    <row r="4" spans="1:4" x14ac:dyDescent="0.3">
      <c r="A4" s="2" t="s">
        <v>5</v>
      </c>
      <c r="B4" s="3">
        <v>2100</v>
      </c>
      <c r="C4" s="2">
        <v>820</v>
      </c>
      <c r="D4" s="5">
        <f t="shared" si="0"/>
        <v>0.39047619047619048</v>
      </c>
    </row>
    <row r="5" spans="1:4" x14ac:dyDescent="0.3">
      <c r="A5" s="2" t="s">
        <v>6</v>
      </c>
      <c r="B5" s="3">
        <v>2400</v>
      </c>
      <c r="C5" s="3">
        <v>1000</v>
      </c>
      <c r="D5" s="5">
        <f t="shared" si="0"/>
        <v>0.41666666666666669</v>
      </c>
    </row>
    <row r="6" spans="1:4" x14ac:dyDescent="0.3">
      <c r="A6" s="2" t="s">
        <v>7</v>
      </c>
      <c r="B6" s="3">
        <v>2150</v>
      </c>
      <c r="C6" s="2">
        <v>950</v>
      </c>
      <c r="D6" s="5">
        <f t="shared" si="0"/>
        <v>0.44186046511627908</v>
      </c>
    </row>
    <row r="7" spans="1:4" x14ac:dyDescent="0.3">
      <c r="A7" s="2" t="s">
        <v>8</v>
      </c>
      <c r="B7" s="3">
        <v>2600</v>
      </c>
      <c r="C7" s="3">
        <v>1200</v>
      </c>
      <c r="D7" s="5">
        <f t="shared" si="0"/>
        <v>0.46153846153846156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3209B-CB02-4CBB-9298-18C7B830C2B3}">
  <dimension ref="A1:F7"/>
  <sheetViews>
    <sheetView workbookViewId="0">
      <selection activeCell="E2" sqref="E2"/>
    </sheetView>
  </sheetViews>
  <sheetFormatPr defaultRowHeight="18.75" x14ac:dyDescent="0.3"/>
  <cols>
    <col min="2" max="2" width="14.09765625" customWidth="1"/>
    <col min="5" max="5" width="15.19921875" customWidth="1"/>
    <col min="6" max="6" width="20.8984375" customWidth="1"/>
  </cols>
  <sheetData>
    <row r="1" spans="1:6" x14ac:dyDescent="0.3">
      <c r="A1" s="1" t="s">
        <v>0</v>
      </c>
      <c r="B1" s="1" t="s">
        <v>10</v>
      </c>
      <c r="C1" s="1" t="s">
        <v>11</v>
      </c>
      <c r="D1" s="1" t="s">
        <v>12</v>
      </c>
      <c r="E1" s="1" t="s">
        <v>26</v>
      </c>
      <c r="F1" s="1"/>
    </row>
    <row r="2" spans="1:6" x14ac:dyDescent="0.3">
      <c r="A2" s="2" t="s">
        <v>3</v>
      </c>
      <c r="B2" s="3">
        <v>20000</v>
      </c>
      <c r="C2" s="3">
        <v>15000</v>
      </c>
      <c r="D2" s="3">
        <v>20000</v>
      </c>
      <c r="E2" s="3">
        <f>B2+C2+D2</f>
        <v>55000</v>
      </c>
    </row>
    <row r="3" spans="1:6" x14ac:dyDescent="0.3">
      <c r="A3" s="2" t="s">
        <v>4</v>
      </c>
      <c r="B3" s="3">
        <v>18000</v>
      </c>
      <c r="C3" s="3">
        <v>14000</v>
      </c>
      <c r="D3" s="3">
        <v>19300</v>
      </c>
      <c r="E3" s="3">
        <f t="shared" ref="E3:E7" si="0">B3+C3+D3</f>
        <v>51300</v>
      </c>
    </row>
    <row r="4" spans="1:6" x14ac:dyDescent="0.3">
      <c r="A4" s="2" t="s">
        <v>5</v>
      </c>
      <c r="B4" s="3">
        <v>17000</v>
      </c>
      <c r="C4" s="3">
        <v>16000</v>
      </c>
      <c r="D4" s="3">
        <v>17400</v>
      </c>
      <c r="E4" s="3">
        <f t="shared" si="0"/>
        <v>50400</v>
      </c>
    </row>
    <row r="5" spans="1:6" x14ac:dyDescent="0.3">
      <c r="A5" s="2" t="s">
        <v>6</v>
      </c>
      <c r="B5" s="3">
        <v>22000</v>
      </c>
      <c r="C5" s="3">
        <v>18000</v>
      </c>
      <c r="D5" s="3">
        <v>15200</v>
      </c>
      <c r="E5" s="3">
        <f t="shared" si="0"/>
        <v>55200</v>
      </c>
    </row>
    <row r="6" spans="1:6" x14ac:dyDescent="0.3">
      <c r="A6" s="2" t="s">
        <v>7</v>
      </c>
      <c r="B6" s="3">
        <v>24000</v>
      </c>
      <c r="C6" s="3">
        <v>17000</v>
      </c>
      <c r="D6" s="3">
        <v>14900</v>
      </c>
      <c r="E6" s="3">
        <f t="shared" si="0"/>
        <v>55900</v>
      </c>
    </row>
    <row r="7" spans="1:6" x14ac:dyDescent="0.3">
      <c r="A7" s="2" t="s">
        <v>8</v>
      </c>
      <c r="B7" s="3">
        <v>28000</v>
      </c>
      <c r="C7" s="3">
        <v>19000</v>
      </c>
      <c r="D7" s="3">
        <v>15400</v>
      </c>
      <c r="E7" s="3">
        <f t="shared" si="0"/>
        <v>62400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7FA94-7D61-4163-A4DD-48840619687F}">
  <dimension ref="A1:B8"/>
  <sheetViews>
    <sheetView tabSelected="1" workbookViewId="0">
      <selection sqref="A1:B8"/>
    </sheetView>
  </sheetViews>
  <sheetFormatPr defaultRowHeight="18.75" x14ac:dyDescent="0.3"/>
  <cols>
    <col min="1" max="1" width="17.796875" style="10" bestFit="1" customWidth="1"/>
    <col min="2" max="2" width="10.3984375" customWidth="1"/>
  </cols>
  <sheetData>
    <row r="1" spans="1:2" x14ac:dyDescent="0.3">
      <c r="A1" s="8" t="s">
        <v>13</v>
      </c>
      <c r="B1" s="1" t="s">
        <v>14</v>
      </c>
    </row>
    <row r="2" spans="1:2" x14ac:dyDescent="0.3">
      <c r="A2" s="9" t="s">
        <v>1</v>
      </c>
      <c r="B2" s="2">
        <v>13000</v>
      </c>
    </row>
    <row r="3" spans="1:2" x14ac:dyDescent="0.3">
      <c r="A3" s="9" t="s">
        <v>15</v>
      </c>
      <c r="B3" s="2">
        <v>0.2</v>
      </c>
    </row>
    <row r="4" spans="1:2" x14ac:dyDescent="0.3">
      <c r="A4" s="9" t="s">
        <v>16</v>
      </c>
      <c r="B4" s="2">
        <v>0.22</v>
      </c>
    </row>
    <row r="5" spans="1:2" x14ac:dyDescent="0.3">
      <c r="A5" s="9" t="s">
        <v>17</v>
      </c>
      <c r="B5" s="2">
        <v>24</v>
      </c>
    </row>
    <row r="6" spans="1:2" x14ac:dyDescent="0.3">
      <c r="A6" s="9" t="s">
        <v>18</v>
      </c>
      <c r="B6">
        <f>B2*B3*B5</f>
        <v>62400</v>
      </c>
    </row>
    <row r="7" spans="1:2" x14ac:dyDescent="0.3">
      <c r="A7" s="9" t="s">
        <v>19</v>
      </c>
      <c r="B7">
        <f>B2*B4*B5</f>
        <v>68640</v>
      </c>
    </row>
    <row r="8" spans="1:2" x14ac:dyDescent="0.3">
      <c r="A8" s="9" t="s">
        <v>20</v>
      </c>
      <c r="B8">
        <f>B7-B6</f>
        <v>6240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KPI_Data</vt:lpstr>
      <vt:lpstr>Retention_Data</vt:lpstr>
      <vt:lpstr>Category_Data</vt:lpstr>
      <vt:lpstr>Scenario_Simulation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abu hozaifa</dc:creator>
  <cp:lastModifiedBy>abu hozaifa</cp:lastModifiedBy>
  <dcterms:created xsi:type="dcterms:W3CDTF">2026-02-23T23:02:30Z</dcterms:created>
  <dcterms:modified xsi:type="dcterms:W3CDTF">2026-02-24T00:40:47Z</dcterms:modified>
</cp:coreProperties>
</file>